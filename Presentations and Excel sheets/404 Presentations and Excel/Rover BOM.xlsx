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<sst xmlns="http://schemas.openxmlformats.org/spreadsheetml/2006/main" count="193" uniqueCount="143">
  <si>
    <t>Budget</t>
  </si>
  <si>
    <t>Equipment</t>
  </si>
  <si>
    <t>Model</t>
  </si>
  <si>
    <t>Quantity</t>
  </si>
  <si>
    <t>Cost per unit ($)</t>
  </si>
  <si>
    <t>Total Cost</t>
  </si>
  <si>
    <t>Link to buy at</t>
  </si>
  <si>
    <t>Category</t>
  </si>
  <si>
    <t>Constraint</t>
  </si>
  <si>
    <t>Specification</t>
  </si>
  <si>
    <t>Element</t>
  </si>
  <si>
    <t>LIDAR sensor</t>
  </si>
  <si>
    <t>slamtech rplidar a1</t>
  </si>
  <si>
    <r>
      <rPr>
        <color rgb="FF1155CC"/>
        <u/>
      </rPr>
      <t>Slamtec RPLIDAR A1M8 2D 360 Degree 12 Meters Scanning Radius LIDAR Sensor Scanner for Obstacle Avoidance and Navigation of Robots: Amazon.com: Industrial &amp; Scientific</t>
    </r>
  </si>
  <si>
    <t xml:space="preserve"> </t>
  </si>
  <si>
    <t>Operating Environment</t>
  </si>
  <si>
    <t>Surface type</t>
  </si>
  <si>
    <t>Flat indoor surfaces (airports, hotels, homes)</t>
  </si>
  <si>
    <t>Functional Scope</t>
  </si>
  <si>
    <t>User pairing &amp; reference</t>
  </si>
  <si>
    <t>Mobile app pairs locally (BLE/Wi-Fi Direct) and provides user reference</t>
  </si>
  <si>
    <t>Alarm</t>
  </si>
  <si>
    <t>Walfront 3-Pack DC 3V-24V Active Piezo Electric Buzzer Piezo Electronic Buzzer Alarm Active Buzzer Loud Continuous Sound with 100mm Sound Cable</t>
  </si>
  <si>
    <r>
      <rPr>
        <color rgb="FF1155CC"/>
        <u/>
      </rPr>
      <t>Amazon.com: Walfront 3-Pack DC 3V-24V Active Piezo Electric Buzzer Piezo Electronic Buzzer Alarm Active Buzzer Loud Continuous Sound with 100mm Sound Cable : Industrial &amp; Scientific</t>
    </r>
  </si>
  <si>
    <t>Obstacle avoidance</t>
  </si>
  <si>
    <t>Moderate pedestrian traffic with dynamic obstacles</t>
  </si>
  <si>
    <t>Perception</t>
  </si>
  <si>
    <t>LiDAR for obstacle detection; weight sensor for payload monitoring</t>
  </si>
  <si>
    <t>Weight sensor</t>
  </si>
  <si>
    <t>20kg Load Cell Weight Sensor Electronic Kitchen Scale + HX711 AD Weighing Module Geekstory</t>
  </si>
  <si>
    <r>
      <rPr>
        <color rgb="FF1155CC"/>
        <u/>
      </rPr>
      <t>Amazon.com: 20kg Load Cell Weight Sensor Electronic Kitchen Scale + HX711 AD Weighing Module Geekstory : Industrial &amp; Scientific</t>
    </r>
  </si>
  <si>
    <t>Lighting conditions</t>
  </si>
  <si>
    <t>Indoor lighting with no direct sunlight</t>
  </si>
  <si>
    <t>State monitoring</t>
  </si>
  <si>
    <t>Monitor link health, user separation, payload presence, battery state</t>
  </si>
  <si>
    <t>Antenna Chip</t>
  </si>
  <si>
    <t>https://www.digikey.com/en/products/detail/qorvo/DWM3000EVB/24367408?gclsrc=aw.ds&amp;gad_source=1&amp;gad_campaignid=20243136172&amp;gbraid=0AAAAADrbLliL06_Dr1iPC7MnKQb7fEMdj&amp;gclid=CjwKCAjwxfjGBhAUEiwAKWPwDu1z04NKG3kXudXhbpWH5gv8fk5p5eKfXlbAPKxVWTwW_V-Swwp6dRoCbDcQAvD_BwE</t>
  </si>
  <si>
    <t>Performance Requirements</t>
  </si>
  <si>
    <t>Payload capacity</t>
  </si>
  <si>
    <t>≥ 20 lbs (travel luggage, bags, backpacks)</t>
  </si>
  <si>
    <t>Control &amp; actuation</t>
  </si>
  <si>
    <t>ESP32 fuses sensor data and commands rover motors for speed/heading</t>
  </si>
  <si>
    <t>Option</t>
  </si>
  <si>
    <t>Cost (relative)</t>
  </si>
  <si>
    <t>Performance/Specs</t>
  </si>
  <si>
    <t>Power/Efficiency</t>
  </si>
  <si>
    <t>Ease of Integration</t>
  </si>
  <si>
    <t>Availability/Lead Time</t>
  </si>
  <si>
    <t>Size/Weight</t>
  </si>
  <si>
    <t>EMI/Risk</t>
  </si>
  <si>
    <t>Docs/Support</t>
  </si>
  <si>
    <t>Weighted Score</t>
  </si>
  <si>
    <t>Notes</t>
  </si>
  <si>
    <t>STM Dev Board</t>
  </si>
  <si>
    <t>https://www.digikey.com/en/products/detail/stmicroelectronics/NUCLEO-G431RB/10231584</t>
  </si>
  <si>
    <t>Endurance</t>
  </si>
  <si>
    <t>≥ 1 hour continuous operation under nominal load</t>
  </si>
  <si>
    <t>HMI &amp; telemetry</t>
  </si>
  <si>
    <t>Rover publishes position/status to app; app displays live status/alerts</t>
  </si>
  <si>
    <t>LiDAR</t>
  </si>
  <si>
    <t>PCB</t>
  </si>
  <si>
    <t>Buck PCB Fab</t>
  </si>
  <si>
    <t>Speed</t>
  </si>
  <si>
    <t>≥ 2 mph (0.9 m/s)</t>
  </si>
  <si>
    <t>Safety behaviors</t>
  </si>
  <si>
    <t>On hazard detection (collision, link loss, payload drop), enter safe state</t>
  </si>
  <si>
    <t>★ Slamtec RPLIDAR A1 (2D)</t>
  </si>
  <si>
    <t>Baseline 360° scan; ~6 m range; 5 V supply; proven hobby/edu use; fits ESP32 over UART.</t>
  </si>
  <si>
    <t xml:space="preserve">Ordered </t>
  </si>
  <si>
    <t>Recieved</t>
  </si>
  <si>
    <t>Buck Components</t>
  </si>
  <si>
    <t>Slamtec RPLIDAR A2M8 (2D)</t>
  </si>
  <si>
    <t>Longer range (~12 m) and faster scan; higher price; similar integration.</t>
  </si>
  <si>
    <t xml:space="preserve">360 LIDAR </t>
  </si>
  <si>
    <t>STM Anchor PCB</t>
  </si>
  <si>
    <t>Following distance</t>
  </si>
  <si>
    <t>3–6 ft separation from user</t>
  </si>
  <si>
    <t>Interfaces</t>
  </si>
  <si>
    <t>Sensor I/O</t>
  </si>
  <si>
    <t>LiDAR (UART), load cell (ADC/amp), optional IMU</t>
  </si>
  <si>
    <t>YDLIDAR X4 (2D)</t>
  </si>
  <si>
    <t>Lower cost alt; adequate range; variable QC; community support mixed.</t>
  </si>
  <si>
    <t>STM FOB PCB</t>
  </si>
  <si>
    <t>Power and Endurance Constraints</t>
  </si>
  <si>
    <t>Battery operation</t>
  </si>
  <si>
    <t>Support motors, sensing, and computation for ≥ 1 hour</t>
  </si>
  <si>
    <t>Compute/control</t>
  </si>
  <si>
    <t>ESP32 to motor controller via PWM/UART</t>
  </si>
  <si>
    <t>Load Cells</t>
  </si>
  <si>
    <t>STM Components</t>
  </si>
  <si>
    <t>Connectivity Assumptions</t>
  </si>
  <si>
    <t>External Wi-Fi reliance</t>
  </si>
  <si>
    <t>No reliance on external Wi-Fi infrastructure</t>
  </si>
  <si>
    <t>App link</t>
  </si>
  <si>
    <t>ESP32 ↔ mobile via BLE</t>
  </si>
  <si>
    <t>PCB MCUs</t>
  </si>
  <si>
    <t>Local communication</t>
  </si>
  <si>
    <t>Bluetooth or Wi-Fi Direct only</t>
  </si>
  <si>
    <t>Out-of-Scope</t>
  </si>
  <si>
    <t>Airline/airport integration</t>
  </si>
  <si>
    <t>No baggage system or TSA/airline compliance features</t>
  </si>
  <si>
    <t>★ 20 kg Bar Load Cell + HX711</t>
  </si>
  <si>
    <t>Simple, low-cost; adequate accuracy for payload detect; proven with ESP32.</t>
  </si>
  <si>
    <t>---</t>
  </si>
  <si>
    <t>Rover PCB</t>
  </si>
  <si>
    <t>Outdoor/stairs navigation</t>
  </si>
  <si>
    <t>No outdoor off-road, stairs, or elevators/escalators</t>
  </si>
  <si>
    <t>Single-Point Platform Cell 50 kg + HX711</t>
  </si>
  <si>
    <t>Better off-axis tolerance for platform mounting; slightly larger &amp; pricier.</t>
  </si>
  <si>
    <t>Rover Components</t>
  </si>
  <si>
    <t>Cloud dependency</t>
  </si>
  <si>
    <t>No cloud dependency for core navigation (optional logging only)</t>
  </si>
  <si>
    <t>FSR (Force-Sensitive Resistor)</t>
  </si>
  <si>
    <t>Ultra low-cost &amp; simple; poor linearity &amp; temperature drift; not ideal for weight.</t>
  </si>
  <si>
    <t>Encoders</t>
  </si>
  <si>
    <t>https://www.digikey.com/short/7mf2rf4z</t>
  </si>
  <si>
    <t>No payloads &gt; 50 lb or special securing mechanisms</t>
  </si>
  <si>
    <t>STM32 Dev Board</t>
  </si>
  <si>
    <t>Microcontroller</t>
  </si>
  <si>
    <t>ESP32</t>
  </si>
  <si>
    <t>3–6 ft following distance maintained ≥ 95% over 100 m route</t>
  </si>
  <si>
    <t>DWM3000 DEV Boards</t>
  </si>
  <si>
    <t>No collisions with static obstacles ≥ 5 cm and pedestrians ≤ 1.5 m/s</t>
  </si>
  <si>
    <t>★ 5 V Active Piezo Buzzer</t>
  </si>
  <si>
    <t>Payload-drop/link-loss alerts delivered ≤ 1.0 s after event detection</t>
  </si>
  <si>
    <t>Passive Piezo + PWM</t>
  </si>
  <si>
    <t>Total</t>
  </si>
  <si>
    <t>Continuous operation ≥ 60 min with 20 lb payload at 2 mph</t>
  </si>
  <si>
    <t>Mini Siren (3–12 V)</t>
  </si>
  <si>
    <t>GPS Module</t>
  </si>
  <si>
    <t>https://www.digikey.com/en/products/detail/adafruit-industries-llc/746/5353613?gclsrc=aw.ds&amp;gad_source=1&amp;gad_campaignid=20243136172&amp;gbraid=0AAAAADrbLlg2yglLWIPObsBAfQDIh4nN4&amp;gclid=Cj0KCQjw58PGBhCkARIsADbDilzxrR2cvj_Tv-4uCRLzHB7wfZT_SX-mR_EzqRo48e7Lbmhad1uDOA8aApawEALw_wcB</t>
  </si>
  <si>
    <t>Motor Controller</t>
  </si>
  <si>
    <t>Sabertooth 2×25:</t>
  </si>
  <si>
    <t>Criteria</t>
  </si>
  <si>
    <t>Weight</t>
  </si>
  <si>
    <t>Buck Converter</t>
  </si>
  <si>
    <t>https://www.amazon.com/HOMELYLIFE-Efficiency-Protection-Automotive-Surveillance/dp/B0F8HFYH8Z/ref=sr_1_1_sspa?adgrpid=1332609499382818&amp;dib=eyJ2IjoiMSJ9.OvdLxbu0dNJpmx7oqIyiIOWZHvKRKuv6MBUw0eFVKmkM8BRJdpLcaGc07YIlowaUN4DCAn7cCj2cf6m9iLfMB4H1LamBlTCQReNsEHNFYqecsfIAXEpvE6JFiHCUSSJFm8cJlLqBwcVDfnc1G7XadmcqDqqKaqTX4klEyZTSEf3uUCri1UA-pilWh71FVh9cX1PX4i5WgNuE2BbZCN8nkC_fYISdqO-tUfkNRNkQ6iGEN4UYsML0CxwHwK3IFPCgPR2yxn7kXbKuk3jMQ-og0bXKe8lQCGza_resp63DfAU.XopotTal17nYzvA6VKsCAqflHHhPz4AvSTPgYDe4KDQ&amp;dib_tag=se&amp;hvadid=83288299062537&amp;hvbmt=be&amp;hvdev=c&amp;hvlocphy=74419&amp;hvnetw=o&amp;hvqmt=e&amp;hvtargid=kwd-83289008391339%3Aloc-190&amp;hydadcr=19135_10726251&amp;keywords=buck%2Bconverter%2B24v%2Bto%2B5v&amp;mcid=f7b41f8318a938bc973a364f0603c67e&amp;msclkid=45dc4b76ea311c4bd0a323a78cbb07f7&amp;qid=1758553750&amp;s=electronics&amp;sr=1-1-spons&amp;sp_csd=d2lkZ2V0TmFtZT1zcF9hdGY&amp;th=1</t>
  </si>
  <si>
    <t>android phone</t>
  </si>
  <si>
    <t>Samsung Galaxy A15</t>
  </si>
  <si>
    <t>https://www.walmart.com/ip/TO-SAMSUNG-S156V-CDMA-LTE-HANDSET-64GB-WALMART-POSA/12839609213?wmlspartner=wlpa&amp;selectedSellerId=0&amp;wmlspartner=wlpa&amp;cn=FY25-ENTP-PMAX_cnv_dps_dsn_dis_ad_entp_e_n&amp;gclsrc=aw.ds&amp;adid=2222222229712839609213_0000000000_21407473164&amp;wl0=&amp;wl1=x&amp;wl2=c&amp;wl3=&amp;wl4=&amp;wl5=9027902&amp;wl6=&amp;wl7=&amp;wl8=&amp;wl9=pla&amp;wl10=8175035&amp;wl11=online&amp;wl12=12839609213&amp;veh=sem&amp;gad_source=1&amp;gad_campaignid=21690411341&amp;gbraid=0AAAAADmfBIoX3S20c1gRohehhPeDf67TO&amp;gclid=Cj0KCQjw3OjGBhDYARIsADd-uX7GjiHwA_px5tNJIA9L2sVxx_L2fwvq_I_irxAEr12VOM9-5Czqcu8aArg4EALw_wcB</t>
  </si>
  <si>
    <t>12V Battery</t>
  </si>
  <si>
    <t>esp32s3</t>
  </si>
  <si>
    <t>https://www.digikey.com/en/products/detail/espressif-systems/ESP32-S3/15822445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</si>
</sst>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u/>
      <color rgb="FF0000FF"/>
    </font>
    <font>
      <sz val="11.0"/>
      <color rgb="FF000000"/>
      <name val="Calibri"/>
    </font>
    <font>
      <u/>
      <color rgb="FF0000FF"/>
    </font>
    <font>
      <sz val="10.0"/>
      <color rgb="FF0A0A0A"/>
      <name val="Orkneymedium"/>
    </font>
    <font>
      <color rgb="FF2E2F32"/>
      <name val="Arial"/>
    </font>
    <font>
      <b/>
      <color rgb="FF2E2F32"/>
      <name val="EverydaySans"/>
    </font>
    <font>
      <sz val="10.0"/>
      <color rgb="FF0A0A0A"/>
      <name val="Arial"/>
    </font>
    <font>
      <u/>
      <color rgb="FF0000FF"/>
    </font>
    <font>
      <u/>
      <color rgb="FF0000FF"/>
    </font>
    <font>
      <b/>
      <color rgb="FF2E2F32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EB84"/>
        <bgColor rgb="FFFFEB84"/>
      </patternFill>
    </fill>
    <fill>
      <patternFill patternType="solid">
        <fgColor rgb="FFFBAA77"/>
        <bgColor rgb="FFFBAA77"/>
      </patternFill>
    </fill>
    <fill>
      <patternFill patternType="solid">
        <fgColor rgb="FF63BE7B"/>
        <bgColor rgb="FF63BE7B"/>
      </patternFill>
    </fill>
    <fill>
      <patternFill patternType="solid">
        <fgColor rgb="FFFFFFFF"/>
        <bgColor rgb="FFFFFFFF"/>
      </patternFill>
    </fill>
    <fill>
      <patternFill patternType="solid">
        <fgColor rgb="FFF8696B"/>
        <bgColor rgb="FFF8696B"/>
      </patternFill>
    </fill>
    <fill>
      <patternFill patternType="solid">
        <fgColor theme="0"/>
        <bgColor theme="0"/>
      </patternFill>
    </fill>
    <fill>
      <patternFill patternType="solid">
        <fgColor rgb="FFCC0000"/>
        <bgColor rgb="FFCC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shrinkToFit="0" vertical="top" wrapText="0"/>
    </xf>
    <xf borderId="2" fillId="0" fontId="3" numFmtId="0" xfId="0" applyAlignment="1" applyBorder="1" applyFont="1">
      <alignment horizontal="center" readingOrder="0" shrinkToFit="0" vertical="top" wrapText="0"/>
    </xf>
    <xf borderId="1" fillId="0" fontId="1" numFmtId="0" xfId="0" applyBorder="1" applyFont="1"/>
    <xf borderId="0" fillId="0" fontId="4" numFmtId="0" xfId="0" applyAlignment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1" fillId="0" fontId="2" numFmtId="0" xfId="0" applyBorder="1" applyFont="1"/>
    <xf borderId="1" fillId="0" fontId="7" numFmtId="165" xfId="0" applyAlignment="1" applyBorder="1" applyFont="1" applyNumberFormat="1">
      <alignment horizontal="right" readingOrder="0"/>
    </xf>
    <xf borderId="5" fillId="0" fontId="5" numFmtId="0" xfId="0" applyAlignment="1" applyBorder="1" applyFont="1">
      <alignment shrinkToFit="0" vertical="bottom" wrapText="0"/>
    </xf>
    <xf borderId="1" fillId="2" fontId="5" numFmtId="0" xfId="0" applyAlignment="1" applyBorder="1" applyFill="1" applyFont="1">
      <alignment horizontal="right" readingOrder="0" shrinkToFit="0" vertical="bottom" wrapText="0"/>
    </xf>
    <xf borderId="1" fillId="3" fontId="5" numFmtId="0" xfId="0" applyAlignment="1" applyBorder="1" applyFill="1" applyFont="1">
      <alignment horizontal="right" readingOrder="0" shrinkToFit="0" vertical="bottom" wrapText="0"/>
    </xf>
    <xf borderId="1" fillId="4" fontId="5" numFmtId="0" xfId="0" applyAlignment="1" applyBorder="1" applyFill="1" applyFon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1" fillId="0" fontId="8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1" fillId="5" fontId="7" numFmtId="0" xfId="0" applyAlignment="1" applyBorder="1" applyFill="1" applyFont="1">
      <alignment readingOrder="0"/>
    </xf>
    <xf borderId="4" fillId="0" fontId="5" numFmtId="0" xfId="0" applyAlignment="1" applyBorder="1" applyFont="1">
      <alignment readingOrder="0" shrinkToFit="0" vertical="bottom" wrapText="0"/>
    </xf>
    <xf borderId="1" fillId="6" fontId="5" numFmtId="0" xfId="0" applyAlignment="1" applyBorder="1" applyFill="1" applyFont="1">
      <alignment horizontal="right" readingOrder="0" shrinkToFit="0" vertical="bottom" wrapText="0"/>
    </xf>
    <xf borderId="1" fillId="4" fontId="2" numFmtId="0" xfId="0" applyBorder="1" applyFont="1"/>
    <xf borderId="0" fillId="7" fontId="2" numFmtId="0" xfId="0" applyFill="1" applyFont="1"/>
    <xf borderId="6" fillId="0" fontId="5" numFmtId="0" xfId="0" applyAlignment="1" applyBorder="1" applyFont="1">
      <alignment shrinkToFit="0" vertical="bottom" wrapText="0"/>
    </xf>
    <xf borderId="1" fillId="5" fontId="10" numFmtId="0" xfId="0" applyAlignment="1" applyBorder="1" applyFont="1">
      <alignment readingOrder="0"/>
    </xf>
    <xf borderId="1" fillId="0" fontId="5" numFmtId="0" xfId="0" applyAlignment="1" applyBorder="1" applyFont="1">
      <alignment shrinkToFit="0" vertical="bottom" wrapText="0"/>
    </xf>
    <xf borderId="0" fillId="0" fontId="2" numFmtId="0" xfId="0" applyFont="1"/>
    <xf borderId="1" fillId="8" fontId="2" numFmtId="0" xfId="0" applyBorder="1" applyFill="1" applyFont="1"/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1" fillId="0" fontId="1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igikey.com/en/products/detail/stmicroelectronics/NUCLEO-G431RB/10231584" TargetMode="External"/><Relationship Id="rId10" Type="http://schemas.openxmlformats.org/officeDocument/2006/relationships/hyperlink" Target="https://www.digikey.com/en/products/detail/qorvo/DWM3000EVB/24367408?gclsrc=aw.ds&amp;gad_source=1&amp;gad_campaignid=20243136172&amp;gbraid=0AAAAADrbLliL06_Dr1iPC7MnKQb7fEMdj&amp;gclid=CjwKCAjwxfjGBhAUEiwAKWPwDu1z04NKG3kXudXhbpWH5gv8fk5p5eKfXlbAPKxVWTwW_V-Swwp6dRoCbDcQAvD_BwE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digikey.com/en/products/detail/espressif-systems/ESP32-S3/15822445" TargetMode="External"/><Relationship Id="rId1" Type="http://schemas.openxmlformats.org/officeDocument/2006/relationships/hyperlink" Target="https://www.amazon.com/Slamtec-RPLIDAR-Scanning-Avoidance-Navigation/dp/B07TJW5SXF/ref=sr_1_4?crid=21710NOICDKAS&amp;dib=eyJ2IjoiMSJ9.NBnQvC53ObrfH8LkAnEuYCeCywQiYNVnTFdCAe5fT9dBcUIjayfki98yx_BbJoGrnru6CfifHod91QbYoq2MDVo9TNMtTsnri9NMfkrz0xehkPy1asZgdpeTpUz0TC0dsT81qEqfYNcCj1KVT-HKw_20Qib5MQLKyYpym0rVHVw-JPI-AbenuHA5Qa2x3tovhp5risHkoA3LR8REb41_XIEYy5tNP3KWBEdMKlxNDpE.Gf_Rh0b8AgYmDnJpXz1t1P77PuYJX2WUcTn1bYVsYbg&amp;dib_tag=se&amp;keywords=slamtech+rplidar+a1&amp;qid=1759465147&amp;sprefix=slamtech+rplidar+a1%2Caps%2C147&amp;sr=8-4" TargetMode="External"/><Relationship Id="rId2" Type="http://schemas.openxmlformats.org/officeDocument/2006/relationships/hyperlink" Target="https://www.amazon.com/3-Pack-3V-24V-Electric-Buzzer-Active/dp/B0761WSXDK?utm_source=chatgpt.com" TargetMode="External"/><Relationship Id="rId3" Type="http://schemas.openxmlformats.org/officeDocument/2006/relationships/hyperlink" Target="https://www.amazon.com/Geekstory-Weight-Electronic-Kitchen-Weighing/dp/B079FQNJJH" TargetMode="External"/><Relationship Id="rId4" Type="http://schemas.openxmlformats.org/officeDocument/2006/relationships/hyperlink" Target="https://www.digikey.com/en/products/detail/qorvo/DWM3000EVB/24367408?gclsrc=aw.ds&amp;gad_source=1&amp;gad_campaignid=20243136172&amp;gbraid=0AAAAADrbLliL06_Dr1iPC7MnKQb7fEMdj&amp;gclid=CjwKCAjwxfjGBhAUEiwAKWPwDu1z04NKG3kXudXhbpWH5gv8fk5p5eKfXlbAPKxVWTwW_V-Swwp6dRoCbDcQAvD_BwE" TargetMode="External"/><Relationship Id="rId9" Type="http://schemas.openxmlformats.org/officeDocument/2006/relationships/hyperlink" Target="https://www.walmart.com/ip/TO-SAMSUNG-S156V-CDMA-LTE-HANDSET-64GB-WALMART-POSA/12839609213?wmlspartner=wlpa&amp;selectedSellerId=0&amp;wmlspartner=wlpa&amp;cn=FY25-ENTP-PMAX_cnv_dps_dsn_dis_ad_entp_e_n&amp;gclsrc=aw.ds&amp;adid=2222222229712839609213_0000000000_21407473164&amp;wl0=&amp;wl1=x&amp;wl2=c&amp;wl3=&amp;wl4=&amp;wl5=9027902&amp;wl6=&amp;wl7=&amp;wl8=&amp;wl9=pla&amp;wl10=8175035&amp;wl11=online&amp;wl12=12839609213&amp;veh=sem&amp;gad_source=1&amp;gad_campaignid=21690411341&amp;gbraid=0AAAAADmfBIoX3S20c1gRohehhPeDf67TO&amp;gclid=Cj0KCQjw3OjGBhDYARIsADd-uX7GjiHwA_px5tNJIA9L2sVxx_L2fwvq_I_irxAEr12VOM9-5Czqcu8aArg4EALw_wcB" TargetMode="External"/><Relationship Id="rId5" Type="http://schemas.openxmlformats.org/officeDocument/2006/relationships/hyperlink" Target="https://www.digikey.com/en/products/detail/stmicroelectronics/NUCLEO-G431RB/10231584" TargetMode="External"/><Relationship Id="rId6" Type="http://schemas.openxmlformats.org/officeDocument/2006/relationships/hyperlink" Target="https://www.digikey.com/short/7mf2rf4z" TargetMode="External"/><Relationship Id="rId7" Type="http://schemas.openxmlformats.org/officeDocument/2006/relationships/hyperlink" Target="https://www.digikey.com/en/products/detail/adafruit-industries-llc/746/5353613?gclsrc=aw.ds&amp;gad_source=1&amp;gad_campaignid=20243136172&amp;gbraid=0AAAAADrbLlg2yglLWIPObsBAfQDIh4nN4&amp;gclid=Cj0KCQjw58PGBhCkARIsADbDilzxrR2cvj_Tv-4uCRLzHB7wfZT_SX-mR_EzqRo48e7Lbmhad1uDOA8aApawEALw_wcB" TargetMode="External"/><Relationship Id="rId8" Type="http://schemas.openxmlformats.org/officeDocument/2006/relationships/hyperlink" Target="https://www.amazon.com/HOMELYLIFE-Efficiency-Protection-Automotive-Surveillance/dp/B0F8HFYH8Z/ref=sr_1_1_sspa?adgrpid=1332609499382818&amp;dib=eyJ2IjoiMSJ9.OvdLxbu0dNJpmx7oqIyiIOWZHvKRKuv6MBUw0eFVKmkM8BRJdpLcaGc07YIlowaUN4DCAn7cCj2cf6m9iLfMB4H1LamBlTCQReNsEHNFYqecsfIAXEpvE6JFiHCUSSJFm8cJlLqBwcVDfnc1G7XadmcqDqqKaqTX4klEyZTSEf3uUCri1UA-pilWh71FVh9cX1PX4i5WgNuE2BbZCN8nkC_fYISdqO-tUfkNRNkQ6iGEN4UYsML0CxwHwK3IFPCgPR2yxn7kXbKuk3jMQ-og0bXKe8lQCGza_resp63DfAU.XopotTal17nYzvA6VKsCAqflHHhPz4AvSTPgYDe4KDQ&amp;dib_tag=se&amp;hvadid=83288299062537&amp;hvbmt=be&amp;hvdev=c&amp;hvlocphy=74419&amp;hvnetw=o&amp;hvqmt=e&amp;hvtargid=kwd-83289008391339%3Aloc-190&amp;hydadcr=19135_10726251&amp;keywords=buck%2Bconverter%2B24v%2Bto%2B5v&amp;mcid=f7b41f8318a938bc973a364f0603c67e&amp;msclkid=45dc4b76ea311c4bd0a323a78cbb07f7&amp;qid=1758553750&amp;s=electronics&amp;sr=1-1-spons&amp;sp_csd=d2lkZ2V0TmFtZT1zcF9hdGY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4" max="4" width="18.0"/>
    <col customWidth="1" min="6" max="6" width="13.75"/>
    <col customWidth="1" min="8" max="8" width="47.13"/>
    <col customWidth="1" min="11" max="11" width="26.13"/>
    <col customWidth="1" min="12" max="12" width="17.75"/>
    <col customWidth="1" min="13" max="13" width="41.88"/>
    <col customWidth="1" min="15" max="15" width="13.63"/>
    <col customWidth="1" min="16" max="16" width="20.25"/>
    <col customWidth="1" min="17" max="17" width="54.75"/>
    <col customWidth="1" min="19" max="19" width="30.75"/>
    <col customWidth="1" min="20" max="20" width="11.63"/>
    <col customWidth="1" min="21" max="21" width="15.88"/>
    <col customWidth="1" min="22" max="22" width="13.75"/>
    <col customWidth="1" min="23" max="23" width="15.25"/>
    <col customWidth="1" min="24" max="24" width="18.0"/>
    <col customWidth="1" min="25" max="25" width="10.13"/>
    <col customWidth="1" min="26" max="26" width="7.88"/>
    <col customWidth="1" min="27" max="27" width="11.5"/>
    <col customWidth="1" min="28" max="28" width="12.88"/>
    <col customWidth="1" min="29" max="29" width="66.88"/>
    <col customWidth="1" min="30" max="31" width="14.63"/>
    <col customWidth="1" min="32" max="35" width="8.38"/>
  </cols>
  <sheetData>
    <row r="3">
      <c r="D3" s="1"/>
    </row>
    <row r="4">
      <c r="A4" s="2" t="s">
        <v>0</v>
      </c>
    </row>
    <row r="5">
      <c r="A5" s="3">
        <v>500.0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5" t="s">
        <v>6</v>
      </c>
      <c r="K5" s="6" t="s">
        <v>7</v>
      </c>
      <c r="L5" s="6" t="s">
        <v>8</v>
      </c>
      <c r="M5" s="6" t="s">
        <v>9</v>
      </c>
      <c r="O5" s="7" t="s">
        <v>7</v>
      </c>
      <c r="P5" s="6" t="s">
        <v>10</v>
      </c>
      <c r="Q5" s="6" t="s">
        <v>9</v>
      </c>
    </row>
    <row r="6">
      <c r="C6" s="5" t="s">
        <v>11</v>
      </c>
      <c r="D6" s="5" t="s">
        <v>12</v>
      </c>
      <c r="E6" s="4">
        <v>1.0</v>
      </c>
      <c r="F6" s="5">
        <v>99.0</v>
      </c>
      <c r="G6" s="8">
        <f t="shared" ref="G6:G10" si="1">F6*E6</f>
        <v>99</v>
      </c>
      <c r="H6" s="9" t="s">
        <v>13</v>
      </c>
      <c r="I6" s="2" t="s">
        <v>14</v>
      </c>
      <c r="K6" s="10" t="s">
        <v>15</v>
      </c>
      <c r="L6" s="11" t="s">
        <v>16</v>
      </c>
      <c r="M6" s="11" t="s">
        <v>17</v>
      </c>
      <c r="O6" s="12" t="s">
        <v>18</v>
      </c>
      <c r="P6" s="13" t="s">
        <v>19</v>
      </c>
      <c r="Q6" s="11" t="s">
        <v>20</v>
      </c>
    </row>
    <row r="7">
      <c r="C7" s="5" t="s">
        <v>21</v>
      </c>
      <c r="D7" s="5" t="s">
        <v>22</v>
      </c>
      <c r="E7" s="4">
        <v>1.0</v>
      </c>
      <c r="F7" s="5">
        <v>8.2</v>
      </c>
      <c r="G7" s="8">
        <f t="shared" si="1"/>
        <v>8.2</v>
      </c>
      <c r="H7" s="9" t="s">
        <v>23</v>
      </c>
      <c r="I7" s="2" t="s">
        <v>14</v>
      </c>
      <c r="K7" s="14"/>
      <c r="L7" s="11" t="s">
        <v>24</v>
      </c>
      <c r="M7" s="11" t="s">
        <v>25</v>
      </c>
      <c r="O7" s="15"/>
      <c r="P7" s="13" t="s">
        <v>26</v>
      </c>
      <c r="Q7" s="11" t="s">
        <v>27</v>
      </c>
    </row>
    <row r="8">
      <c r="C8" s="5" t="s">
        <v>28</v>
      </c>
      <c r="D8" s="5" t="s">
        <v>29</v>
      </c>
      <c r="E8" s="4">
        <v>3.0</v>
      </c>
      <c r="F8" s="5">
        <v>10.0</v>
      </c>
      <c r="G8" s="8">
        <f t="shared" si="1"/>
        <v>30</v>
      </c>
      <c r="H8" s="9" t="s">
        <v>30</v>
      </c>
      <c r="I8" s="2" t="s">
        <v>14</v>
      </c>
      <c r="K8" s="14"/>
      <c r="L8" s="11" t="s">
        <v>31</v>
      </c>
      <c r="M8" s="11" t="s">
        <v>32</v>
      </c>
      <c r="O8" s="15"/>
      <c r="P8" s="13" t="s">
        <v>33</v>
      </c>
      <c r="Q8" s="11" t="s">
        <v>34</v>
      </c>
    </row>
    <row r="9">
      <c r="C9" s="5" t="s">
        <v>35</v>
      </c>
      <c r="D9" s="5"/>
      <c r="E9" s="5">
        <v>2.0</v>
      </c>
      <c r="F9" s="5">
        <v>29.5</v>
      </c>
      <c r="G9" s="8">
        <f t="shared" si="1"/>
        <v>59</v>
      </c>
      <c r="H9" s="16" t="s">
        <v>36</v>
      </c>
      <c r="I9" s="2" t="s">
        <v>14</v>
      </c>
      <c r="K9" s="10" t="s">
        <v>37</v>
      </c>
      <c r="L9" s="11" t="s">
        <v>38</v>
      </c>
      <c r="M9" s="11" t="s">
        <v>39</v>
      </c>
      <c r="O9" s="15"/>
      <c r="P9" s="13" t="s">
        <v>40</v>
      </c>
      <c r="Q9" s="11" t="s">
        <v>41</v>
      </c>
      <c r="S9" s="6" t="s">
        <v>42</v>
      </c>
      <c r="T9" s="6" t="s">
        <v>43</v>
      </c>
      <c r="U9" s="6" t="s">
        <v>44</v>
      </c>
      <c r="V9" s="6" t="s">
        <v>45</v>
      </c>
      <c r="W9" s="6" t="s">
        <v>46</v>
      </c>
      <c r="X9" s="6" t="s">
        <v>47</v>
      </c>
      <c r="Y9" s="6" t="s">
        <v>48</v>
      </c>
      <c r="Z9" s="6" t="s">
        <v>49</v>
      </c>
      <c r="AA9" s="6" t="s">
        <v>50</v>
      </c>
      <c r="AB9" s="6" t="s">
        <v>51</v>
      </c>
      <c r="AC9" s="6" t="s">
        <v>52</v>
      </c>
    </row>
    <row r="10">
      <c r="C10" s="5" t="s">
        <v>53</v>
      </c>
      <c r="D10" s="5"/>
      <c r="E10" s="5">
        <v>2.0</v>
      </c>
      <c r="F10" s="5">
        <v>15.8</v>
      </c>
      <c r="G10" s="8">
        <f t="shared" si="1"/>
        <v>31.6</v>
      </c>
      <c r="H10" s="16" t="s">
        <v>54</v>
      </c>
      <c r="I10" s="2" t="s">
        <v>14</v>
      </c>
      <c r="K10" s="14"/>
      <c r="L10" s="11" t="s">
        <v>55</v>
      </c>
      <c r="M10" s="11" t="s">
        <v>56</v>
      </c>
      <c r="O10" s="15"/>
      <c r="P10" s="13" t="s">
        <v>57</v>
      </c>
      <c r="Q10" s="11" t="s">
        <v>58</v>
      </c>
      <c r="S10" s="17" t="s">
        <v>59</v>
      </c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>
      <c r="B11" s="2" t="s">
        <v>60</v>
      </c>
      <c r="C11" s="5" t="s">
        <v>61</v>
      </c>
      <c r="D11" s="19"/>
      <c r="E11" s="4">
        <v>3.0</v>
      </c>
      <c r="F11" s="5"/>
      <c r="G11" s="20">
        <v>32.2</v>
      </c>
      <c r="H11" s="5"/>
      <c r="K11" s="14"/>
      <c r="L11" s="11" t="s">
        <v>62</v>
      </c>
      <c r="M11" s="11" t="s">
        <v>63</v>
      </c>
      <c r="O11" s="21"/>
      <c r="P11" s="13" t="s">
        <v>64</v>
      </c>
      <c r="Q11" s="11" t="s">
        <v>65</v>
      </c>
      <c r="S11" s="11" t="s">
        <v>66</v>
      </c>
      <c r="T11" s="22">
        <v>4.0</v>
      </c>
      <c r="U11" s="23">
        <v>3.0</v>
      </c>
      <c r="V11" s="23">
        <v>3.0</v>
      </c>
      <c r="W11" s="24">
        <v>5.0</v>
      </c>
      <c r="X11" s="24">
        <v>5.0</v>
      </c>
      <c r="Y11" s="22">
        <v>4.0</v>
      </c>
      <c r="Z11" s="22">
        <v>4.0</v>
      </c>
      <c r="AA11" s="22">
        <v>4.0</v>
      </c>
      <c r="AB11" s="24">
        <v>3.85</v>
      </c>
      <c r="AC11" s="11" t="s">
        <v>67</v>
      </c>
      <c r="AE11" s="4" t="s">
        <v>1</v>
      </c>
      <c r="AF11" s="4" t="s">
        <v>68</v>
      </c>
      <c r="AG11" s="4" t="s">
        <v>69</v>
      </c>
      <c r="AH11" s="25"/>
      <c r="AI11" s="25"/>
    </row>
    <row r="12">
      <c r="C12" s="26" t="s">
        <v>70</v>
      </c>
      <c r="D12" s="27"/>
      <c r="E12" s="4"/>
      <c r="F12" s="5"/>
      <c r="G12" s="28">
        <v>42.45</v>
      </c>
      <c r="H12" s="5"/>
      <c r="J12" s="2" t="s">
        <v>14</v>
      </c>
      <c r="K12" s="14"/>
      <c r="L12" s="11"/>
      <c r="M12" s="11"/>
      <c r="O12" s="29"/>
      <c r="P12" s="13"/>
      <c r="Q12" s="11"/>
      <c r="S12" s="11" t="s">
        <v>71</v>
      </c>
      <c r="T12" s="30">
        <v>2.0</v>
      </c>
      <c r="U12" s="24">
        <v>5.0</v>
      </c>
      <c r="V12" s="23">
        <v>3.0</v>
      </c>
      <c r="W12" s="24">
        <v>5.0</v>
      </c>
      <c r="X12" s="23">
        <v>3.0</v>
      </c>
      <c r="Y12" s="22">
        <v>4.0</v>
      </c>
      <c r="Z12" s="22">
        <v>4.0</v>
      </c>
      <c r="AA12" s="22">
        <v>4.0</v>
      </c>
      <c r="AB12" s="22">
        <v>3.75</v>
      </c>
      <c r="AC12" s="11" t="s">
        <v>72</v>
      </c>
      <c r="AE12" s="5" t="s">
        <v>73</v>
      </c>
      <c r="AF12" s="31"/>
      <c r="AG12" s="31"/>
      <c r="AH12" s="32"/>
      <c r="AI12" s="32"/>
    </row>
    <row r="13">
      <c r="B13" s="2" t="s">
        <v>60</v>
      </c>
      <c r="C13" s="5" t="s">
        <v>74</v>
      </c>
      <c r="D13" s="19"/>
      <c r="E13" s="4">
        <v>3.0</v>
      </c>
      <c r="F13" s="5"/>
      <c r="G13" s="4">
        <v>16.6</v>
      </c>
      <c r="H13" s="19"/>
      <c r="K13" s="14"/>
      <c r="L13" s="11" t="s">
        <v>75</v>
      </c>
      <c r="M13" s="11" t="s">
        <v>76</v>
      </c>
      <c r="O13" s="29" t="s">
        <v>77</v>
      </c>
      <c r="P13" s="13" t="s">
        <v>78</v>
      </c>
      <c r="Q13" s="11" t="s">
        <v>79</v>
      </c>
      <c r="S13" s="11" t="s">
        <v>80</v>
      </c>
      <c r="T13" s="24">
        <v>5.0</v>
      </c>
      <c r="U13" s="23">
        <v>3.0</v>
      </c>
      <c r="V13" s="23">
        <v>3.0</v>
      </c>
      <c r="W13" s="22">
        <v>4.0</v>
      </c>
      <c r="X13" s="23">
        <v>3.0</v>
      </c>
      <c r="Y13" s="22">
        <v>4.0</v>
      </c>
      <c r="Z13" s="23">
        <v>3.0</v>
      </c>
      <c r="AA13" s="23">
        <v>3.0</v>
      </c>
      <c r="AB13" s="30">
        <v>3.6</v>
      </c>
      <c r="AC13" s="11" t="s">
        <v>81</v>
      </c>
      <c r="AE13" s="5" t="s">
        <v>21</v>
      </c>
      <c r="AF13" s="31"/>
      <c r="AG13" s="31"/>
      <c r="AH13" s="32"/>
      <c r="AI13" s="32"/>
    </row>
    <row r="14">
      <c r="B14" s="2" t="s">
        <v>60</v>
      </c>
      <c r="C14" s="5" t="s">
        <v>82</v>
      </c>
      <c r="D14" s="19"/>
      <c r="E14" s="4">
        <v>3.0</v>
      </c>
      <c r="F14" s="5"/>
      <c r="G14" s="4">
        <v>16.45</v>
      </c>
      <c r="H14" s="19"/>
      <c r="K14" s="10" t="s">
        <v>83</v>
      </c>
      <c r="L14" s="11" t="s">
        <v>84</v>
      </c>
      <c r="M14" s="11" t="s">
        <v>85</v>
      </c>
      <c r="O14" s="15"/>
      <c r="P14" s="13" t="s">
        <v>86</v>
      </c>
      <c r="Q14" s="11" t="s">
        <v>87</v>
      </c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E14" s="5" t="s">
        <v>88</v>
      </c>
      <c r="AF14" s="31"/>
      <c r="AG14" s="31"/>
      <c r="AH14" s="32"/>
      <c r="AI14" s="32"/>
    </row>
    <row r="15">
      <c r="C15" s="26" t="s">
        <v>89</v>
      </c>
      <c r="D15" s="19"/>
      <c r="E15" s="4"/>
      <c r="F15" s="5"/>
      <c r="G15" s="34">
        <v>151.71</v>
      </c>
      <c r="K15" s="10" t="s">
        <v>90</v>
      </c>
      <c r="L15" s="11" t="s">
        <v>91</v>
      </c>
      <c r="M15" s="11" t="s">
        <v>92</v>
      </c>
      <c r="O15" s="21"/>
      <c r="P15" s="13" t="s">
        <v>93</v>
      </c>
      <c r="Q15" s="11" t="s">
        <v>94</v>
      </c>
      <c r="S15" s="17" t="s">
        <v>88</v>
      </c>
      <c r="T15" s="18"/>
      <c r="U15" s="18"/>
      <c r="V15" s="18"/>
      <c r="W15" s="18"/>
      <c r="X15" s="18"/>
      <c r="Y15" s="18"/>
      <c r="Z15" s="18"/>
      <c r="AA15" s="18"/>
      <c r="AB15" s="18"/>
      <c r="AC15" s="18"/>
      <c r="AE15" s="5" t="s">
        <v>35</v>
      </c>
      <c r="AF15" s="31"/>
      <c r="AG15" s="31"/>
      <c r="AH15" s="32"/>
      <c r="AI15" s="32"/>
    </row>
    <row r="16">
      <c r="C16" s="5" t="s">
        <v>95</v>
      </c>
      <c r="D16" s="19"/>
      <c r="E16" s="19"/>
      <c r="F16" s="19"/>
      <c r="G16" s="5">
        <v>24.25</v>
      </c>
      <c r="K16" s="35"/>
      <c r="L16" s="11" t="s">
        <v>96</v>
      </c>
      <c r="M16" s="11" t="s">
        <v>97</v>
      </c>
      <c r="O16" s="29" t="s">
        <v>98</v>
      </c>
      <c r="P16" s="13" t="s">
        <v>99</v>
      </c>
      <c r="Q16" s="11" t="s">
        <v>100</v>
      </c>
      <c r="S16" s="11" t="s">
        <v>101</v>
      </c>
      <c r="T16" s="24">
        <v>5.0</v>
      </c>
      <c r="U16" s="22">
        <v>4.0</v>
      </c>
      <c r="V16" s="22">
        <v>4.0</v>
      </c>
      <c r="W16" s="24">
        <v>5.0</v>
      </c>
      <c r="X16" s="24">
        <v>5.0</v>
      </c>
      <c r="Y16" s="24">
        <v>5.0</v>
      </c>
      <c r="Z16" s="22">
        <v>4.0</v>
      </c>
      <c r="AA16" s="22">
        <v>4.0</v>
      </c>
      <c r="AB16" s="24">
        <v>4.5</v>
      </c>
      <c r="AC16" s="11" t="s">
        <v>102</v>
      </c>
      <c r="AE16" s="5" t="s">
        <v>53</v>
      </c>
      <c r="AF16" s="31"/>
      <c r="AG16" s="31"/>
      <c r="AH16" s="32"/>
      <c r="AI16" s="32"/>
    </row>
    <row r="17">
      <c r="B17" s="2" t="s">
        <v>103</v>
      </c>
      <c r="C17" s="5" t="s">
        <v>104</v>
      </c>
      <c r="D17" s="19"/>
      <c r="E17" s="4">
        <v>3.0</v>
      </c>
      <c r="F17" s="19"/>
      <c r="G17" s="5">
        <v>26.93</v>
      </c>
      <c r="O17" s="15"/>
      <c r="P17" s="13" t="s">
        <v>105</v>
      </c>
      <c r="Q17" s="11" t="s">
        <v>106</v>
      </c>
      <c r="S17" s="11" t="s">
        <v>107</v>
      </c>
      <c r="T17" s="22">
        <v>4.0</v>
      </c>
      <c r="U17" s="24">
        <v>5.0</v>
      </c>
      <c r="V17" s="22">
        <v>4.0</v>
      </c>
      <c r="W17" s="22">
        <v>4.0</v>
      </c>
      <c r="X17" s="22">
        <v>4.0</v>
      </c>
      <c r="Y17" s="22">
        <v>4.0</v>
      </c>
      <c r="Z17" s="22">
        <v>4.0</v>
      </c>
      <c r="AA17" s="22">
        <v>4.0</v>
      </c>
      <c r="AB17" s="22">
        <v>4.25</v>
      </c>
      <c r="AC17" s="11" t="s">
        <v>108</v>
      </c>
      <c r="AE17" s="5" t="s">
        <v>61</v>
      </c>
      <c r="AF17" s="31"/>
      <c r="AG17" s="31"/>
      <c r="AH17" s="32"/>
      <c r="AI17" s="32"/>
    </row>
    <row r="18">
      <c r="B18" s="2" t="s">
        <v>103</v>
      </c>
      <c r="C18" s="5" t="s">
        <v>109</v>
      </c>
      <c r="D18" s="19"/>
      <c r="E18" s="19"/>
      <c r="F18" s="19"/>
      <c r="G18" s="5">
        <v>20.99</v>
      </c>
      <c r="O18" s="15"/>
      <c r="P18" s="13" t="s">
        <v>110</v>
      </c>
      <c r="Q18" s="11" t="s">
        <v>111</v>
      </c>
      <c r="S18" s="11" t="s">
        <v>112</v>
      </c>
      <c r="T18" s="24">
        <v>5.0</v>
      </c>
      <c r="U18" s="30">
        <v>2.0</v>
      </c>
      <c r="V18" s="24">
        <v>5.0</v>
      </c>
      <c r="W18" s="24">
        <v>5.0</v>
      </c>
      <c r="X18" s="24">
        <v>5.0</v>
      </c>
      <c r="Y18" s="24">
        <v>5.0</v>
      </c>
      <c r="Z18" s="22">
        <v>4.0</v>
      </c>
      <c r="AA18" s="23">
        <v>3.0</v>
      </c>
      <c r="AB18" s="30">
        <v>4.1</v>
      </c>
      <c r="AC18" s="11" t="s">
        <v>113</v>
      </c>
      <c r="AE18" s="26" t="s">
        <v>70</v>
      </c>
      <c r="AF18" s="31"/>
      <c r="AG18" s="31"/>
      <c r="AH18" s="32"/>
      <c r="AI18" s="32"/>
    </row>
    <row r="19">
      <c r="C19" s="2" t="s">
        <v>114</v>
      </c>
      <c r="E19" s="2">
        <v>2.0</v>
      </c>
      <c r="F19" s="2">
        <v>45.59</v>
      </c>
      <c r="G19" s="36">
        <f>F19*E19</f>
        <v>91.18</v>
      </c>
      <c r="H19" s="9" t="s">
        <v>115</v>
      </c>
      <c r="K19" s="4" t="s">
        <v>1</v>
      </c>
      <c r="L19" s="4" t="s">
        <v>2</v>
      </c>
      <c r="M19" s="4" t="s">
        <v>3</v>
      </c>
      <c r="N19" s="4" t="s">
        <v>4</v>
      </c>
      <c r="O19" s="4" t="s">
        <v>5</v>
      </c>
      <c r="P19" s="5" t="s">
        <v>6</v>
      </c>
      <c r="Q19" s="11" t="s">
        <v>116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E19" s="5" t="s">
        <v>74</v>
      </c>
      <c r="AF19" s="31"/>
      <c r="AG19" s="31"/>
      <c r="AH19" s="32"/>
      <c r="AI19" s="32"/>
    </row>
    <row r="20">
      <c r="C20" s="2" t="s">
        <v>117</v>
      </c>
      <c r="E20" s="2">
        <v>3.0</v>
      </c>
      <c r="F20" s="2">
        <v>15.88</v>
      </c>
      <c r="G20" s="36">
        <f>47.64</f>
        <v>47.64</v>
      </c>
      <c r="K20" s="5" t="s">
        <v>118</v>
      </c>
      <c r="L20" s="5" t="s">
        <v>119</v>
      </c>
      <c r="M20" s="4">
        <v>1.0</v>
      </c>
      <c r="N20" s="5">
        <v>0.0</v>
      </c>
      <c r="O20" s="8">
        <f t="shared" ref="O20:O26" si="2">N20*M20</f>
        <v>0</v>
      </c>
      <c r="P20" s="19"/>
      <c r="Q20" s="11" t="s">
        <v>120</v>
      </c>
      <c r="S20" s="17" t="s">
        <v>21</v>
      </c>
      <c r="T20" s="18"/>
      <c r="U20" s="18"/>
      <c r="V20" s="18"/>
      <c r="W20" s="18"/>
      <c r="X20" s="18"/>
      <c r="Y20" s="18"/>
      <c r="Z20" s="18"/>
      <c r="AA20" s="18"/>
      <c r="AB20" s="18"/>
      <c r="AC20" s="18"/>
      <c r="AE20" s="5" t="s">
        <v>82</v>
      </c>
      <c r="AF20" s="31"/>
      <c r="AG20" s="31"/>
      <c r="AH20" s="32"/>
      <c r="AI20" s="32"/>
    </row>
    <row r="21">
      <c r="C21" s="2" t="s">
        <v>121</v>
      </c>
      <c r="E21" s="2">
        <v>3.0</v>
      </c>
      <c r="F21" s="2">
        <v>23.2</v>
      </c>
      <c r="G21" s="2">
        <f>69.6</f>
        <v>69.6</v>
      </c>
      <c r="K21" s="5" t="s">
        <v>11</v>
      </c>
      <c r="L21" s="5" t="s">
        <v>12</v>
      </c>
      <c r="M21" s="4">
        <v>1.0</v>
      </c>
      <c r="N21" s="5">
        <v>90.0</v>
      </c>
      <c r="O21" s="8">
        <f t="shared" si="2"/>
        <v>90</v>
      </c>
      <c r="P21" s="19"/>
      <c r="Q21" s="11" t="s">
        <v>122</v>
      </c>
      <c r="S21" s="11" t="s">
        <v>123</v>
      </c>
      <c r="T21" s="24">
        <v>5.0</v>
      </c>
      <c r="U21" s="22">
        <v>4.0</v>
      </c>
      <c r="V21" s="24">
        <v>5.0</v>
      </c>
      <c r="W21" s="24">
        <v>5.0</v>
      </c>
      <c r="X21" s="24">
        <v>5.0</v>
      </c>
      <c r="Y21" s="24">
        <v>5.0</v>
      </c>
      <c r="Z21" s="22">
        <v>4.0</v>
      </c>
      <c r="AA21" s="22">
        <v>4.0</v>
      </c>
      <c r="AB21" s="24">
        <v>4.65</v>
      </c>
      <c r="AC21" s="11" t="s">
        <v>102</v>
      </c>
      <c r="AE21" s="26" t="s">
        <v>89</v>
      </c>
      <c r="AF21" s="31"/>
      <c r="AG21" s="31"/>
      <c r="AH21" s="32"/>
      <c r="AI21" s="32"/>
    </row>
    <row r="22">
      <c r="E22" s="25"/>
      <c r="K22" s="5" t="s">
        <v>21</v>
      </c>
      <c r="L22" s="19"/>
      <c r="M22" s="4">
        <v>1.0</v>
      </c>
      <c r="N22" s="5">
        <v>10.0</v>
      </c>
      <c r="O22" s="8">
        <f t="shared" si="2"/>
        <v>10</v>
      </c>
      <c r="P22" s="19"/>
      <c r="Q22" s="11" t="s">
        <v>124</v>
      </c>
      <c r="S22" s="11" t="s">
        <v>125</v>
      </c>
      <c r="T22" s="24">
        <v>5.0</v>
      </c>
      <c r="U22" s="22">
        <v>4.0</v>
      </c>
      <c r="V22" s="24">
        <v>5.0</v>
      </c>
      <c r="W22" s="23">
        <v>3.0</v>
      </c>
      <c r="X22" s="24">
        <v>5.0</v>
      </c>
      <c r="Y22" s="24">
        <v>5.0</v>
      </c>
      <c r="Z22" s="22">
        <v>4.0</v>
      </c>
      <c r="AA22" s="22">
        <v>4.0</v>
      </c>
      <c r="AB22" s="22">
        <v>4.35</v>
      </c>
      <c r="AC22" s="11" t="s">
        <v>108</v>
      </c>
      <c r="AE22" s="5" t="s">
        <v>95</v>
      </c>
      <c r="AF22" s="31"/>
      <c r="AG22" s="31"/>
      <c r="AH22" s="32"/>
      <c r="AI22" s="32"/>
    </row>
    <row r="23">
      <c r="E23" s="25" t="s">
        <v>126</v>
      </c>
      <c r="F23" s="36">
        <f>sum(G6:G21)</f>
        <v>767.8</v>
      </c>
      <c r="K23" s="5" t="s">
        <v>28</v>
      </c>
      <c r="L23" s="19"/>
      <c r="M23" s="4">
        <v>4.0</v>
      </c>
      <c r="N23" s="5">
        <v>10.0</v>
      </c>
      <c r="O23" s="8">
        <f t="shared" si="2"/>
        <v>40</v>
      </c>
      <c r="P23" s="19"/>
      <c r="Q23" s="11" t="s">
        <v>127</v>
      </c>
      <c r="S23" s="11" t="s">
        <v>128</v>
      </c>
      <c r="T23" s="23">
        <v>3.0</v>
      </c>
      <c r="U23" s="24">
        <v>5.0</v>
      </c>
      <c r="V23" s="30">
        <v>2.0</v>
      </c>
      <c r="W23" s="22">
        <v>4.0</v>
      </c>
      <c r="X23" s="22">
        <v>4.0</v>
      </c>
      <c r="Y23" s="23">
        <v>3.0</v>
      </c>
      <c r="Z23" s="30">
        <v>2.0</v>
      </c>
      <c r="AA23" s="23">
        <v>3.0</v>
      </c>
      <c r="AB23" s="30">
        <v>3.55</v>
      </c>
      <c r="AC23" s="11" t="s">
        <v>113</v>
      </c>
      <c r="AE23" s="5" t="s">
        <v>114</v>
      </c>
      <c r="AF23" s="37"/>
      <c r="AG23" s="37"/>
      <c r="AH23" s="32"/>
      <c r="AI23" s="32"/>
    </row>
    <row r="24">
      <c r="K24" s="5" t="s">
        <v>129</v>
      </c>
      <c r="L24" s="5" t="s">
        <v>14</v>
      </c>
      <c r="M24" s="4">
        <v>1.0</v>
      </c>
      <c r="N24" s="5">
        <v>29.95</v>
      </c>
      <c r="O24" s="8">
        <f t="shared" si="2"/>
        <v>29.95</v>
      </c>
      <c r="P24" s="38" t="s">
        <v>130</v>
      </c>
      <c r="Q24" s="2" t="s">
        <v>14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>
      <c r="K25" s="5" t="s">
        <v>131</v>
      </c>
      <c r="L25" s="5" t="s">
        <v>132</v>
      </c>
      <c r="M25" s="4">
        <v>1.0</v>
      </c>
      <c r="N25" s="5">
        <v>0.0</v>
      </c>
      <c r="O25" s="8">
        <f t="shared" si="2"/>
        <v>0</v>
      </c>
      <c r="P25" s="19"/>
      <c r="S25" s="6" t="s">
        <v>133</v>
      </c>
      <c r="T25" s="6" t="s">
        <v>134</v>
      </c>
      <c r="U25" s="18"/>
      <c r="V25" s="18"/>
      <c r="W25" s="18"/>
      <c r="X25" s="18"/>
      <c r="Y25" s="18"/>
      <c r="Z25" s="18"/>
      <c r="AA25" s="18"/>
      <c r="AB25" s="18"/>
      <c r="AC25" s="18"/>
      <c r="AF25" s="18"/>
      <c r="AG25" s="18"/>
      <c r="AH25" s="18"/>
      <c r="AI25" s="18"/>
    </row>
    <row r="26">
      <c r="K26" s="5" t="s">
        <v>135</v>
      </c>
      <c r="L26" s="19"/>
      <c r="M26" s="4">
        <v>1.0</v>
      </c>
      <c r="N26" s="5">
        <v>12.0</v>
      </c>
      <c r="O26" s="8">
        <f t="shared" si="2"/>
        <v>12</v>
      </c>
      <c r="P26" s="39" t="s">
        <v>136</v>
      </c>
      <c r="S26" s="40" t="s">
        <v>43</v>
      </c>
      <c r="T26" s="41">
        <v>0.2</v>
      </c>
      <c r="U26" s="18"/>
      <c r="V26" s="18"/>
      <c r="W26" s="18"/>
      <c r="X26" s="18"/>
      <c r="Y26" s="18"/>
      <c r="Z26" s="18"/>
      <c r="AA26" s="18"/>
      <c r="AB26" s="18"/>
      <c r="AC26" s="18"/>
      <c r="AF26" s="18"/>
      <c r="AG26" s="18"/>
      <c r="AH26" s="18"/>
      <c r="AI26" s="18"/>
    </row>
    <row r="27">
      <c r="K27" s="42" t="s">
        <v>137</v>
      </c>
      <c r="L27" s="27" t="s">
        <v>138</v>
      </c>
      <c r="M27" s="4">
        <v>1.0</v>
      </c>
      <c r="N27" s="5">
        <v>39.88</v>
      </c>
      <c r="O27" s="4">
        <f>M27*N27</f>
        <v>39.88</v>
      </c>
      <c r="P27" s="39" t="s">
        <v>139</v>
      </c>
      <c r="S27" s="40" t="s">
        <v>44</v>
      </c>
      <c r="T27" s="41">
        <v>0.25</v>
      </c>
      <c r="U27" s="18"/>
      <c r="V27" s="18"/>
      <c r="W27" s="18"/>
      <c r="X27" s="18"/>
      <c r="Y27" s="18"/>
      <c r="Z27" s="18"/>
      <c r="AA27" s="18"/>
      <c r="AB27" s="18"/>
      <c r="AC27" s="18"/>
      <c r="AF27" s="18"/>
      <c r="AG27" s="18"/>
      <c r="AH27" s="18"/>
      <c r="AI27" s="18"/>
    </row>
    <row r="28">
      <c r="K28" s="5" t="s">
        <v>140</v>
      </c>
      <c r="L28" s="19"/>
      <c r="M28" s="4">
        <v>2.0</v>
      </c>
      <c r="N28" s="5">
        <v>0.0</v>
      </c>
      <c r="O28" s="8">
        <f>N28*M28</f>
        <v>0</v>
      </c>
      <c r="P28" s="19"/>
      <c r="S28" s="40" t="s">
        <v>45</v>
      </c>
      <c r="T28" s="41">
        <v>0.15</v>
      </c>
      <c r="U28" s="18"/>
      <c r="V28" s="18"/>
      <c r="W28" s="18"/>
      <c r="X28" s="18"/>
      <c r="Y28" s="18"/>
      <c r="Z28" s="18"/>
      <c r="AA28" s="18"/>
      <c r="AB28" s="18"/>
      <c r="AC28" s="18"/>
      <c r="AF28" s="18"/>
      <c r="AG28" s="18"/>
      <c r="AH28" s="18"/>
      <c r="AI28" s="18"/>
    </row>
    <row r="29">
      <c r="C29" s="2" t="s">
        <v>35</v>
      </c>
      <c r="D29" s="16" t="s">
        <v>36</v>
      </c>
      <c r="E29" s="2">
        <v>2.0</v>
      </c>
      <c r="S29" s="40" t="s">
        <v>46</v>
      </c>
      <c r="T29" s="41">
        <v>0.15</v>
      </c>
      <c r="U29" s="18"/>
      <c r="V29" s="18"/>
      <c r="W29" s="18"/>
      <c r="X29" s="18"/>
      <c r="Y29" s="18"/>
      <c r="Z29" s="18"/>
      <c r="AA29" s="18"/>
      <c r="AB29" s="18"/>
      <c r="AC29" s="18"/>
      <c r="AF29" s="18"/>
      <c r="AG29" s="18"/>
      <c r="AH29" s="18"/>
      <c r="AI29" s="18"/>
    </row>
    <row r="30">
      <c r="C30" s="2" t="s">
        <v>53</v>
      </c>
      <c r="D30" s="16" t="s">
        <v>54</v>
      </c>
      <c r="E30" s="2">
        <v>2.0</v>
      </c>
      <c r="S30" s="40" t="s">
        <v>47</v>
      </c>
      <c r="T30" s="41">
        <v>0.1</v>
      </c>
      <c r="U30" s="18"/>
      <c r="V30" s="18"/>
      <c r="W30" s="18"/>
      <c r="X30" s="18"/>
      <c r="Y30" s="18"/>
      <c r="Z30" s="18"/>
      <c r="AA30" s="18"/>
      <c r="AB30" s="18"/>
      <c r="AC30" s="18"/>
      <c r="AF30" s="18"/>
      <c r="AG30" s="18"/>
      <c r="AH30" s="18"/>
      <c r="AI30" s="18"/>
    </row>
    <row r="31">
      <c r="S31" s="40" t="s">
        <v>48</v>
      </c>
      <c r="T31" s="41">
        <v>0.05</v>
      </c>
      <c r="U31" s="18"/>
      <c r="V31" s="18"/>
      <c r="W31" s="18"/>
      <c r="X31" s="18"/>
      <c r="Y31" s="18"/>
      <c r="Z31" s="18"/>
      <c r="AA31" s="18"/>
      <c r="AB31" s="18"/>
      <c r="AC31" s="18"/>
    </row>
    <row r="32">
      <c r="C32" s="2" t="s">
        <v>141</v>
      </c>
      <c r="D32" s="16" t="s">
        <v>142</v>
      </c>
      <c r="S32" s="40" t="s">
        <v>49</v>
      </c>
      <c r="T32" s="41">
        <v>0.05</v>
      </c>
      <c r="U32" s="18"/>
      <c r="V32" s="18"/>
      <c r="W32" s="18"/>
      <c r="X32" s="18"/>
      <c r="Y32" s="18"/>
      <c r="Z32" s="18"/>
      <c r="AA32" s="18"/>
      <c r="AB32" s="18"/>
      <c r="AC32" s="18"/>
    </row>
    <row r="33">
      <c r="S33" s="40" t="s">
        <v>50</v>
      </c>
      <c r="T33" s="41">
        <v>0.05</v>
      </c>
      <c r="U33" s="18"/>
      <c r="V33" s="18"/>
      <c r="W33" s="18"/>
      <c r="X33" s="18"/>
      <c r="Y33" s="18"/>
      <c r="Z33" s="18"/>
      <c r="AA33" s="18"/>
      <c r="AB33" s="18"/>
      <c r="AC33" s="18"/>
    </row>
  </sheetData>
  <hyperlinks>
    <hyperlink r:id="rId1" ref="H6"/>
    <hyperlink r:id="rId2" ref="H7"/>
    <hyperlink r:id="rId3" ref="H8"/>
    <hyperlink r:id="rId4" ref="H9"/>
    <hyperlink r:id="rId5" ref="H10"/>
    <hyperlink r:id="rId6" ref="H19"/>
    <hyperlink r:id="rId7" ref="P24"/>
    <hyperlink r:id="rId8" ref="P26"/>
    <hyperlink r:id="rId9" ref="P27"/>
    <hyperlink r:id="rId10" ref="D29"/>
    <hyperlink r:id="rId11" ref="D30"/>
    <hyperlink r:id="rId12" ref="D32"/>
  </hyperlinks>
  <drawing r:id="rId13"/>
</worksheet>
</file>